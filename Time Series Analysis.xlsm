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rvani Kasam\Desktop\IMP\projects\Mine\Excel\"/>
    </mc:Choice>
  </mc:AlternateContent>
  <xr:revisionPtr revIDLastSave="0" documentId="13_ncr:1_{26B0529B-45F6-4035-9C8A-1BBCECB30C56}" xr6:coauthVersionLast="47" xr6:coauthVersionMax="47" xr10:uidLastSave="{00000000-0000-0000-0000-000000000000}"/>
  <bookViews>
    <workbookView xWindow="-108" yWindow="-108" windowWidth="23256" windowHeight="12456" xr2:uid="{CED1F99E-48FC-468A-A237-646BFD7179C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1" l="1"/>
  <c r="K21" i="1"/>
  <c r="K22" i="1"/>
  <c r="K23" i="1"/>
  <c r="I4" i="1"/>
  <c r="K11" i="1"/>
  <c r="K12" i="1"/>
  <c r="J20" i="1"/>
  <c r="J23" i="1"/>
  <c r="J22" i="1"/>
  <c r="J21" i="1"/>
  <c r="K9" i="1"/>
  <c r="K13" i="1"/>
  <c r="K14" i="1"/>
  <c r="K15" i="1"/>
  <c r="K17" i="1"/>
  <c r="K18" i="1"/>
  <c r="K19" i="1"/>
  <c r="J5" i="1"/>
  <c r="J6" i="1"/>
  <c r="J7" i="1"/>
  <c r="J8" i="1"/>
  <c r="K8" i="1" s="1"/>
  <c r="J9" i="1"/>
  <c r="J10" i="1"/>
  <c r="K10" i="1" s="1"/>
  <c r="J11" i="1"/>
  <c r="J12" i="1"/>
  <c r="J13" i="1"/>
  <c r="J14" i="1"/>
  <c r="J15" i="1"/>
  <c r="J16" i="1"/>
  <c r="K16" i="1" s="1"/>
  <c r="J17" i="1"/>
  <c r="J18" i="1"/>
  <c r="J19" i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G13" i="1"/>
  <c r="F17" i="1"/>
  <c r="G17" i="1" s="1"/>
  <c r="F7" i="1"/>
  <c r="G7" i="1" s="1"/>
  <c r="F13" i="1"/>
  <c r="F14" i="1"/>
  <c r="G14" i="1" s="1"/>
  <c r="F15" i="1"/>
  <c r="G15" i="1" s="1"/>
  <c r="F16" i="1"/>
  <c r="G16" i="1" s="1"/>
  <c r="E6" i="1"/>
  <c r="F6" i="1" s="1"/>
  <c r="G6" i="1" s="1"/>
  <c r="E7" i="1"/>
  <c r="E8" i="1"/>
  <c r="F8" i="1" s="1"/>
  <c r="G8" i="1" s="1"/>
  <c r="E9" i="1"/>
  <c r="F9" i="1" s="1"/>
  <c r="G9" i="1" s="1"/>
  <c r="Q30" i="1" s="1"/>
  <c r="K5" i="1" s="1"/>
  <c r="E10" i="1"/>
  <c r="F10" i="1" s="1"/>
  <c r="G10" i="1" s="1"/>
  <c r="E11" i="1"/>
  <c r="F11" i="1" s="1"/>
  <c r="G11" i="1" s="1"/>
  <c r="E12" i="1"/>
  <c r="F12" i="1" s="1"/>
  <c r="G12" i="1" s="1"/>
  <c r="E13" i="1"/>
  <c r="E14" i="1"/>
  <c r="E15" i="1"/>
  <c r="E16" i="1"/>
  <c r="E17" i="1"/>
  <c r="E18" i="1"/>
  <c r="Q32" i="1" l="1"/>
  <c r="K7" i="1" s="1"/>
  <c r="Q31" i="1"/>
  <c r="K6" i="1" s="1"/>
  <c r="Q29" i="1"/>
  <c r="H4" i="1" s="1"/>
  <c r="K4" i="1" s="1"/>
  <c r="I5" i="1"/>
  <c r="I7" i="1"/>
  <c r="I6" i="1" l="1"/>
</calcChain>
</file>

<file path=xl/sharedStrings.xml><?xml version="1.0" encoding="utf-8"?>
<sst xmlns="http://schemas.openxmlformats.org/spreadsheetml/2006/main" count="49" uniqueCount="46">
  <si>
    <t>YEAR</t>
  </si>
  <si>
    <t>SALES(1000s)</t>
  </si>
  <si>
    <t>MA(4)</t>
  </si>
  <si>
    <t>QUARTERLY DATA FOR CAR SALES</t>
  </si>
  <si>
    <t>QUARTER</t>
  </si>
  <si>
    <t>Year 1</t>
  </si>
  <si>
    <t>Year 2</t>
  </si>
  <si>
    <t>Year 3</t>
  </si>
  <si>
    <t>Year 4</t>
  </si>
  <si>
    <t>Year 5</t>
  </si>
  <si>
    <t>t</t>
  </si>
  <si>
    <t>CMA(4)</t>
  </si>
  <si>
    <r>
      <t>S</t>
    </r>
    <r>
      <rPr>
        <b/>
        <vertAlign val="subscript"/>
        <sz val="11"/>
        <color theme="4" tint="-0.249977111117893"/>
        <rFont val="Aptos Display"/>
        <family val="2"/>
      </rPr>
      <t>t</t>
    </r>
    <r>
      <rPr>
        <b/>
        <sz val="11"/>
        <color theme="4" tint="-0.249977111117893"/>
        <rFont val="Aptos Display"/>
        <family val="2"/>
      </rPr>
      <t>,I</t>
    </r>
    <r>
      <rPr>
        <b/>
        <vertAlign val="subscript"/>
        <sz val="11"/>
        <color theme="4" tint="-0.249977111117893"/>
        <rFont val="Aptos Display"/>
        <family val="2"/>
      </rPr>
      <t>t</t>
    </r>
  </si>
  <si>
    <t>(Yt)</t>
  </si>
  <si>
    <t>Yt/CMA</t>
  </si>
  <si>
    <t>Baseline</t>
  </si>
  <si>
    <r>
      <t>S</t>
    </r>
    <r>
      <rPr>
        <b/>
        <vertAlign val="subscript"/>
        <sz val="11"/>
        <color theme="4" tint="-0.249977111117893"/>
        <rFont val="Aptos Display"/>
        <family val="2"/>
      </rPr>
      <t>t</t>
    </r>
  </si>
  <si>
    <t>Quarter</t>
  </si>
  <si>
    <t>Deseasonalize</t>
  </si>
  <si>
    <t>Yt/St</t>
  </si>
  <si>
    <t>Tt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</si>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</sst>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4" tint="-0.249977111117893"/>
      <name val="Aptos Display"/>
      <family val="2"/>
    </font>
    <font>
      <b/>
      <vertAlign val="subscript"/>
      <sz val="11"/>
      <color theme="4" tint="-0.249977111117893"/>
      <name val="Aptos Display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2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5" fillId="0" borderId="2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Continuous"/>
    </xf>
    <xf numFmtId="0" fontId="0" fillId="2" borderId="0" xfId="0" applyFill="1" applyBorder="1" applyAlignment="1"/>
    <xf numFmtId="0" fontId="0" fillId="2" borderId="1" xfId="0" applyFill="1" applyBorder="1" applyAlignment="1"/>
    <xf numFmtId="0" fontId="0" fillId="3" borderId="3" xfId="0" applyFill="1" applyBorder="1"/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/>
    <xf numFmtId="0" fontId="2" fillId="3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0" fillId="4" borderId="3" xfId="0" applyFill="1" applyBorder="1"/>
    <xf numFmtId="2" fontId="0" fillId="4" borderId="3" xfId="0" applyNumberFormat="1" applyFill="1" applyBorder="1"/>
    <xf numFmtId="166" fontId="0" fillId="4" borderId="3" xfId="0" applyNumberFormat="1" applyFill="1" applyBorder="1"/>
    <xf numFmtId="0" fontId="0" fillId="5" borderId="3" xfId="0" applyFill="1" applyBorder="1"/>
    <xf numFmtId="2" fontId="0" fillId="5" borderId="3" xfId="0" applyNumberFormat="1" applyFill="1" applyBorder="1"/>
    <xf numFmtId="0" fontId="6" fillId="6" borderId="4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>
                <a:solidFill>
                  <a:schemeClr val="accent1">
                    <a:lumMod val="50000"/>
                  </a:schemeClr>
                </a:solidFill>
              </a:rPr>
              <a:t>TIME</a:t>
            </a:r>
            <a:r>
              <a:rPr lang="en-IN" sz="1600" b="1" baseline="0">
                <a:solidFill>
                  <a:schemeClr val="accent1">
                    <a:lumMod val="50000"/>
                  </a:schemeClr>
                </a:solidFill>
              </a:rPr>
              <a:t> SERIES PLOT OF CAR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YEAR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Sheet1!$A$4:$B$23</c:f>
              <c:multiLvlStrCache>
                <c:ptCount val="20"/>
                <c:lvl>
                  <c:pt idx="0">
                    <c:v>Year 1</c:v>
                  </c:pt>
                  <c:pt idx="4">
                    <c:v>Year 2</c:v>
                  </c:pt>
                  <c:pt idx="8">
                    <c:v>Year 3</c:v>
                  </c:pt>
                  <c:pt idx="12">
                    <c:v>Year 4</c:v>
                  </c:pt>
                  <c:pt idx="16">
                    <c:v>Year 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Sheet1!$B$4:$B$19</c:f>
              <c:numCache>
                <c:formatCode>General</c:formatCode>
                <c:ptCount val="16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AB-4B9F-9425-5633AF69D5FD}"/>
            </c:ext>
          </c:extLst>
        </c:ser>
        <c:ser>
          <c:idx val="2"/>
          <c:order val="1"/>
          <c:tx>
            <c:strRef>
              <c:f>Sheet1!$D$3</c:f>
              <c:strCache>
                <c:ptCount val="1"/>
                <c:pt idx="0">
                  <c:v>SALES(1000s)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Sheet1!$A$4:$B$23</c:f>
              <c:multiLvlStrCache>
                <c:ptCount val="20"/>
                <c:lvl>
                  <c:pt idx="0">
                    <c:v>Year 1</c:v>
                  </c:pt>
                  <c:pt idx="4">
                    <c:v>Year 2</c:v>
                  </c:pt>
                  <c:pt idx="8">
                    <c:v>Year 3</c:v>
                  </c:pt>
                  <c:pt idx="12">
                    <c:v>Year 4</c:v>
                  </c:pt>
                  <c:pt idx="16">
                    <c:v>Year 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Sheet1!$D$4:$D$19</c:f>
              <c:numCache>
                <c:formatCode>General</c:formatCode>
                <c:ptCount val="16"/>
                <c:pt idx="0">
                  <c:v>4.8</c:v>
                </c:pt>
                <c:pt idx="1">
                  <c:v>4.0999999999999996</c:v>
                </c:pt>
                <c:pt idx="2">
                  <c:v>6</c:v>
                </c:pt>
                <c:pt idx="3">
                  <c:v>6.5</c:v>
                </c:pt>
                <c:pt idx="4">
                  <c:v>5.8</c:v>
                </c:pt>
                <c:pt idx="5">
                  <c:v>5.2</c:v>
                </c:pt>
                <c:pt idx="6">
                  <c:v>6.8</c:v>
                </c:pt>
                <c:pt idx="7">
                  <c:v>7.4</c:v>
                </c:pt>
                <c:pt idx="8">
                  <c:v>6</c:v>
                </c:pt>
                <c:pt idx="9">
                  <c:v>5.6</c:v>
                </c:pt>
                <c:pt idx="10">
                  <c:v>7.5</c:v>
                </c:pt>
                <c:pt idx="11">
                  <c:v>7.8</c:v>
                </c:pt>
                <c:pt idx="12">
                  <c:v>6.3</c:v>
                </c:pt>
                <c:pt idx="13">
                  <c:v>5.9</c:v>
                </c:pt>
                <c:pt idx="14">
                  <c:v>8</c:v>
                </c:pt>
                <c:pt idx="15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AB-4B9F-9425-5633AF69D5FD}"/>
            </c:ext>
          </c:extLst>
        </c:ser>
        <c:ser>
          <c:idx val="1"/>
          <c:order val="2"/>
          <c:tx>
            <c:strRef>
              <c:f>Sheet1!$F$3</c:f>
              <c:strCache>
                <c:ptCount val="1"/>
                <c:pt idx="0">
                  <c:v>CMA(4)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Sheet1!$A$4:$B$23</c:f>
              <c:multiLvlStrCache>
                <c:ptCount val="20"/>
                <c:lvl>
                  <c:pt idx="0">
                    <c:v>Year 1</c:v>
                  </c:pt>
                  <c:pt idx="4">
                    <c:v>Year 2</c:v>
                  </c:pt>
                  <c:pt idx="8">
                    <c:v>Year 3</c:v>
                  </c:pt>
                  <c:pt idx="12">
                    <c:v>Year 4</c:v>
                  </c:pt>
                  <c:pt idx="16">
                    <c:v>Year 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Sheet1!$F$4:$F$19</c:f>
              <c:numCache>
                <c:formatCode>General</c:formatCode>
                <c:ptCount val="16"/>
                <c:pt idx="2" formatCode="0.0">
                  <c:v>5.4749999999999996</c:v>
                </c:pt>
                <c:pt idx="3" formatCode="0.0">
                  <c:v>5.7375000000000007</c:v>
                </c:pt>
                <c:pt idx="4" formatCode="0.0">
                  <c:v>5.9749999999999996</c:v>
                </c:pt>
                <c:pt idx="5" formatCode="0.0">
                  <c:v>6.1875</c:v>
                </c:pt>
                <c:pt idx="6" formatCode="0.0">
                  <c:v>6.3250000000000002</c:v>
                </c:pt>
                <c:pt idx="7" formatCode="0.0">
                  <c:v>6.3999999999999995</c:v>
                </c:pt>
                <c:pt idx="8" formatCode="0.0">
                  <c:v>6.5374999999999996</c:v>
                </c:pt>
                <c:pt idx="9" formatCode="0.0">
                  <c:v>6.6750000000000007</c:v>
                </c:pt>
                <c:pt idx="10" formatCode="0.0">
                  <c:v>6.7625000000000002</c:v>
                </c:pt>
                <c:pt idx="11" formatCode="0.0">
                  <c:v>6.8375000000000004</c:v>
                </c:pt>
                <c:pt idx="12" formatCode="0.0">
                  <c:v>6.9375</c:v>
                </c:pt>
                <c:pt idx="13" formatCode="0.0">
                  <c:v>7.0750000000000002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AB-4B9F-9425-5633AF69D5FD}"/>
            </c:ext>
          </c:extLst>
        </c:ser>
        <c:ser>
          <c:idx val="3"/>
          <c:order val="3"/>
          <c:tx>
            <c:strRef>
              <c:f>Sheet1!$K$3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multiLvlStrRef>
              <c:f>Sheet1!$A$4:$B$23</c:f>
              <c:multiLvlStrCache>
                <c:ptCount val="20"/>
                <c:lvl>
                  <c:pt idx="0">
                    <c:v>Year 1</c:v>
                  </c:pt>
                  <c:pt idx="4">
                    <c:v>Year 2</c:v>
                  </c:pt>
                  <c:pt idx="8">
                    <c:v>Year 3</c:v>
                  </c:pt>
                  <c:pt idx="12">
                    <c:v>Year 4</c:v>
                  </c:pt>
                  <c:pt idx="16">
                    <c:v>Year 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Sheet1!$K$4:$K$23</c:f>
              <c:numCache>
                <c:formatCode>0.00</c:formatCode>
                <c:ptCount val="20"/>
                <c:pt idx="0">
                  <c:v>4.891275217942094</c:v>
                </c:pt>
                <c:pt idx="1">
                  <c:v>4.5304746681584662</c:v>
                </c:pt>
                <c:pt idx="2">
                  <c:v>6.0384078655372759</c:v>
                </c:pt>
                <c:pt idx="3">
                  <c:v>6.5391590210587349</c:v>
                </c:pt>
                <c:pt idx="4">
                  <c:v>5.4243428696468801</c:v>
                </c:pt>
                <c:pt idx="5">
                  <c:v>5.0223837278229908</c:v>
                </c:pt>
                <c:pt idx="6">
                  <c:v>6.6767184310543382</c:v>
                </c:pt>
                <c:pt idx="7">
                  <c:v>7.2126059479804061</c:v>
                </c:pt>
                <c:pt idx="8">
                  <c:v>5.968956471418319</c:v>
                </c:pt>
                <c:pt idx="9">
                  <c:v>5.5142927874875163</c:v>
                </c:pt>
                <c:pt idx="10">
                  <c:v>7.3150289965714004</c:v>
                </c:pt>
                <c:pt idx="11">
                  <c:v>7.8860528749020773</c:v>
                </c:pt>
                <c:pt idx="12">
                  <c:v>6.513570073189757</c:v>
                </c:pt>
                <c:pt idx="13">
                  <c:v>6.0062018471520409</c:v>
                </c:pt>
                <c:pt idx="14">
                  <c:v>7.9533395620884626</c:v>
                </c:pt>
                <c:pt idx="15">
                  <c:v>8.5594998018237476</c:v>
                </c:pt>
                <c:pt idx="16">
                  <c:v>7.0581836749611959</c:v>
                </c:pt>
                <c:pt idx="17">
                  <c:v>6.4981109068165654</c:v>
                </c:pt>
                <c:pt idx="18">
                  <c:v>8.5916501276055257</c:v>
                </c:pt>
                <c:pt idx="19">
                  <c:v>9.2329467287454179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AB-4B9F-9425-5633AF69D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217391"/>
        <c:axId val="1416208751"/>
      </c:lineChart>
      <c:catAx>
        <c:axId val="1416217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208751"/>
        <c:crosses val="autoZero"/>
        <c:auto val="1"/>
        <c:lblAlgn val="ctr"/>
        <c:lblOffset val="100"/>
        <c:noMultiLvlLbl val="0"/>
      </c:catAx>
      <c:valAx>
        <c:axId val="141620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217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487936</xdr:colOff>
      <xdr:row>23</xdr:row>
      <xdr:rowOff>112717</xdr:rowOff>
    </xdr:from>
    <xdr:to>
      <xdr:col>9</xdr:col>
      <xdr:colOff>376518</xdr:colOff>
      <xdr:row>41</xdr:row>
      <xdr:rowOff>35859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9FF59A-8F97-11E7-DAD6-6CF39997CB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EDB5-9CF9-425C-932F-0D456E7A6A8C}">
  <sheetPr codeName="Sheet1"/>
  <dimension ref="A1:X32"/>
  <sheetViews>
    <sheetView tabSelected="1" topLeftCell="A6" zoomScale="85" zoomScaleNormal="85" workbookViewId="0">
      <selection activeCell="M9" sqref="M9"/>
    </sheetView>
  </sheetViews>
  <sheetFormatPr defaultRowHeight="14.4" x14ac:dyDescent="0.3"/>
  <cols>
    <col min="2" max="2" width="8.6640625" customWidth="1"/>
    <col min="3" max="3" width="11.88671875" customWidth="1"/>
    <col min="4" max="4" width="16.6640625" bestFit="1" customWidth="1"/>
    <col min="9" max="9" width="13.77734375" bestFit="1" customWidth="1"/>
    <col min="11" max="11" width="10.21875" bestFit="1" customWidth="1"/>
  </cols>
  <sheetData>
    <row r="1" spans="1:17" ht="18" x14ac:dyDescent="0.35">
      <c r="A1" s="20" t="s">
        <v>3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7" x14ac:dyDescent="0.3">
      <c r="A2" s="10"/>
      <c r="B2" s="10"/>
      <c r="C2" s="10"/>
      <c r="D2" s="11" t="s">
        <v>13</v>
      </c>
      <c r="E2" s="10"/>
      <c r="F2" s="12" t="s">
        <v>15</v>
      </c>
      <c r="G2" s="12" t="s">
        <v>14</v>
      </c>
      <c r="H2" s="10"/>
      <c r="I2" s="12" t="s">
        <v>19</v>
      </c>
      <c r="J2" s="10"/>
      <c r="K2" s="10"/>
    </row>
    <row r="3" spans="1:17" ht="15.6" x14ac:dyDescent="0.35">
      <c r="A3" s="13" t="s">
        <v>10</v>
      </c>
      <c r="B3" s="14" t="s">
        <v>0</v>
      </c>
      <c r="C3" s="14" t="s">
        <v>4</v>
      </c>
      <c r="D3" s="14" t="s">
        <v>1</v>
      </c>
      <c r="E3" s="14" t="s">
        <v>2</v>
      </c>
      <c r="F3" s="14" t="s">
        <v>11</v>
      </c>
      <c r="G3" s="14" t="s">
        <v>12</v>
      </c>
      <c r="H3" s="14" t="s">
        <v>16</v>
      </c>
      <c r="I3" s="14" t="s">
        <v>18</v>
      </c>
      <c r="J3" s="14" t="s">
        <v>20</v>
      </c>
      <c r="K3" s="14" t="s">
        <v>45</v>
      </c>
    </row>
    <row r="4" spans="1:17" x14ac:dyDescent="0.3">
      <c r="A4" s="15">
        <v>1</v>
      </c>
      <c r="B4" s="15" t="s">
        <v>5</v>
      </c>
      <c r="C4" s="15">
        <v>1</v>
      </c>
      <c r="D4" s="15">
        <v>4.8</v>
      </c>
      <c r="E4" s="15"/>
      <c r="F4" s="15"/>
      <c r="G4" s="15"/>
      <c r="H4" s="16">
        <f>VLOOKUP(C4,P29:Q32,2,FALSE)</f>
        <v>0.93220047731596012</v>
      </c>
      <c r="I4" s="16">
        <f>D4/H4</f>
        <v>5.1491069966198779</v>
      </c>
      <c r="J4" s="16">
        <f>$Q$24+$Q$25*A4</f>
        <v>5.2470207181456363</v>
      </c>
      <c r="K4" s="16">
        <f>H4*J4</f>
        <v>4.891275217942094</v>
      </c>
    </row>
    <row r="5" spans="1:17" x14ac:dyDescent="0.3">
      <c r="A5" s="15">
        <v>2</v>
      </c>
      <c r="B5" s="15"/>
      <c r="C5" s="15">
        <v>2</v>
      </c>
      <c r="D5" s="15">
        <v>4.0999999999999996</v>
      </c>
      <c r="E5" s="15"/>
      <c r="F5" s="15"/>
      <c r="G5" s="15"/>
      <c r="H5" s="16">
        <v>0.84</v>
      </c>
      <c r="I5" s="16">
        <f t="shared" ref="I5:I19" si="0">D5/H5</f>
        <v>4.8809523809523805</v>
      </c>
      <c r="J5" s="16">
        <f t="shared" ref="J5:J23" si="1">$Q$24+$Q$25*A5</f>
        <v>5.3934222239981739</v>
      </c>
      <c r="K5" s="16">
        <f t="shared" ref="K5:K23" si="2">H5*J5</f>
        <v>4.5304746681584662</v>
      </c>
    </row>
    <row r="6" spans="1:17" x14ac:dyDescent="0.3">
      <c r="A6" s="15">
        <v>3</v>
      </c>
      <c r="B6" s="15"/>
      <c r="C6" s="15">
        <v>3</v>
      </c>
      <c r="D6" s="15">
        <v>6</v>
      </c>
      <c r="E6" s="17">
        <f>AVERAGE(D4:D7)</f>
        <v>5.35</v>
      </c>
      <c r="F6" s="17">
        <f>AVERAGE(E6:E7)</f>
        <v>5.4749999999999996</v>
      </c>
      <c r="G6" s="16">
        <f>D6/F6</f>
        <v>1.0958904109589043</v>
      </c>
      <c r="H6" s="16">
        <v>1.0900000000000001</v>
      </c>
      <c r="I6" s="16">
        <f t="shared" si="0"/>
        <v>5.5045871559633026</v>
      </c>
      <c r="J6" s="16">
        <f t="shared" si="1"/>
        <v>5.5398237298507116</v>
      </c>
      <c r="K6" s="16">
        <f t="shared" si="2"/>
        <v>6.0384078655372759</v>
      </c>
    </row>
    <row r="7" spans="1:17" x14ac:dyDescent="0.3">
      <c r="A7" s="15">
        <v>4</v>
      </c>
      <c r="B7" s="15"/>
      <c r="C7" s="15">
        <v>4</v>
      </c>
      <c r="D7" s="15">
        <v>6.5</v>
      </c>
      <c r="E7" s="17">
        <f t="shared" ref="E7:E19" si="3">AVERAGE(D5:D8)</f>
        <v>5.6000000000000005</v>
      </c>
      <c r="F7" s="17">
        <f t="shared" ref="F7:F19" si="4">AVERAGE(E7:E8)</f>
        <v>5.7375000000000007</v>
      </c>
      <c r="G7" s="16">
        <f t="shared" ref="G7:G19" si="5">D7/F7</f>
        <v>1.1328976034858387</v>
      </c>
      <c r="H7" s="16">
        <v>1.1499999999999999</v>
      </c>
      <c r="I7" s="16">
        <f t="shared" si="0"/>
        <v>5.6521739130434785</v>
      </c>
      <c r="J7" s="16">
        <f t="shared" si="1"/>
        <v>5.6862252357032483</v>
      </c>
      <c r="K7" s="16">
        <f t="shared" si="2"/>
        <v>6.5391590210587349</v>
      </c>
    </row>
    <row r="8" spans="1:17" x14ac:dyDescent="0.3">
      <c r="A8" s="15">
        <v>5</v>
      </c>
      <c r="B8" s="15" t="s">
        <v>6</v>
      </c>
      <c r="C8" s="15">
        <v>1</v>
      </c>
      <c r="D8" s="15">
        <v>5.8</v>
      </c>
      <c r="E8" s="17">
        <f t="shared" si="3"/>
        <v>5.875</v>
      </c>
      <c r="F8" s="17">
        <f t="shared" si="4"/>
        <v>5.9749999999999996</v>
      </c>
      <c r="G8" s="16">
        <f t="shared" si="5"/>
        <v>0.97071129707112969</v>
      </c>
      <c r="H8" s="16">
        <v>0.93</v>
      </c>
      <c r="I8" s="16">
        <f t="shared" si="0"/>
        <v>6.236559139784946</v>
      </c>
      <c r="J8" s="16">
        <f t="shared" si="1"/>
        <v>5.8326267415557851</v>
      </c>
      <c r="K8" s="16">
        <f t="shared" si="2"/>
        <v>5.4243428696468801</v>
      </c>
      <c r="P8" t="s">
        <v>21</v>
      </c>
    </row>
    <row r="9" spans="1:17" ht="15" thickBot="1" x14ac:dyDescent="0.35">
      <c r="A9" s="15">
        <v>6</v>
      </c>
      <c r="B9" s="15"/>
      <c r="C9" s="15">
        <v>2</v>
      </c>
      <c r="D9" s="15">
        <v>5.2</v>
      </c>
      <c r="E9" s="17">
        <f t="shared" si="3"/>
        <v>6.0750000000000002</v>
      </c>
      <c r="F9" s="17">
        <f t="shared" si="4"/>
        <v>6.1875</v>
      </c>
      <c r="G9" s="16">
        <f t="shared" si="5"/>
        <v>0.84040404040404049</v>
      </c>
      <c r="H9" s="16">
        <v>0.84</v>
      </c>
      <c r="I9" s="16">
        <f t="shared" si="0"/>
        <v>6.1904761904761907</v>
      </c>
      <c r="J9" s="16">
        <f t="shared" si="1"/>
        <v>5.9790282474083227</v>
      </c>
      <c r="K9" s="16">
        <f t="shared" si="2"/>
        <v>5.0223837278229908</v>
      </c>
    </row>
    <row r="10" spans="1:17" x14ac:dyDescent="0.3">
      <c r="A10" s="15">
        <v>7</v>
      </c>
      <c r="B10" s="15"/>
      <c r="C10" s="15">
        <v>3</v>
      </c>
      <c r="D10" s="15">
        <v>6.8</v>
      </c>
      <c r="E10" s="17">
        <f t="shared" si="3"/>
        <v>6.3000000000000007</v>
      </c>
      <c r="F10" s="17">
        <f t="shared" si="4"/>
        <v>6.3250000000000002</v>
      </c>
      <c r="G10" s="16">
        <f t="shared" si="5"/>
        <v>1.075098814229249</v>
      </c>
      <c r="H10" s="16">
        <v>1.0900000000000001</v>
      </c>
      <c r="I10" s="16">
        <f t="shared" si="0"/>
        <v>6.2385321100917421</v>
      </c>
      <c r="J10" s="16">
        <f t="shared" si="1"/>
        <v>6.1254297532608604</v>
      </c>
      <c r="K10" s="16">
        <f t="shared" si="2"/>
        <v>6.6767184310543382</v>
      </c>
      <c r="P10" s="7" t="s">
        <v>22</v>
      </c>
      <c r="Q10" s="7"/>
    </row>
    <row r="11" spans="1:17" x14ac:dyDescent="0.3">
      <c r="A11" s="15">
        <v>8</v>
      </c>
      <c r="B11" s="15"/>
      <c r="C11" s="15">
        <v>4</v>
      </c>
      <c r="D11" s="15">
        <v>7.4</v>
      </c>
      <c r="E11" s="17">
        <f t="shared" si="3"/>
        <v>6.35</v>
      </c>
      <c r="F11" s="17">
        <f t="shared" si="4"/>
        <v>6.3999999999999995</v>
      </c>
      <c r="G11" s="16">
        <f t="shared" si="5"/>
        <v>1.1562500000000002</v>
      </c>
      <c r="H11" s="16">
        <v>1.1499999999999999</v>
      </c>
      <c r="I11" s="16">
        <f t="shared" si="0"/>
        <v>6.4347826086956532</v>
      </c>
      <c r="J11" s="16">
        <f t="shared" si="1"/>
        <v>6.2718312591133971</v>
      </c>
      <c r="K11" s="16">
        <f t="shared" si="2"/>
        <v>7.2126059479804061</v>
      </c>
      <c r="P11" s="4" t="s">
        <v>23</v>
      </c>
      <c r="Q11" s="4">
        <v>0.95849791378874705</v>
      </c>
    </row>
    <row r="12" spans="1:17" x14ac:dyDescent="0.3">
      <c r="A12" s="15">
        <v>9</v>
      </c>
      <c r="B12" s="15" t="s">
        <v>7</v>
      </c>
      <c r="C12" s="15">
        <v>1</v>
      </c>
      <c r="D12" s="15">
        <v>6</v>
      </c>
      <c r="E12" s="17">
        <f t="shared" si="3"/>
        <v>6.4499999999999993</v>
      </c>
      <c r="F12" s="17">
        <f t="shared" si="4"/>
        <v>6.5374999999999996</v>
      </c>
      <c r="G12" s="16">
        <f t="shared" si="5"/>
        <v>0.91778202676864251</v>
      </c>
      <c r="H12" s="16">
        <v>0.93</v>
      </c>
      <c r="I12" s="16">
        <f t="shared" si="0"/>
        <v>6.4516129032258061</v>
      </c>
      <c r="J12" s="16">
        <f t="shared" si="1"/>
        <v>6.4182327649659339</v>
      </c>
      <c r="K12" s="16">
        <f t="shared" si="2"/>
        <v>5.968956471418319</v>
      </c>
      <c r="P12" s="4" t="s">
        <v>24</v>
      </c>
      <c r="Q12" s="4">
        <v>0.91871825073738034</v>
      </c>
    </row>
    <row r="13" spans="1:17" x14ac:dyDescent="0.3">
      <c r="A13" s="15">
        <v>10</v>
      </c>
      <c r="B13" s="15"/>
      <c r="C13" s="15">
        <v>2</v>
      </c>
      <c r="D13" s="15">
        <v>5.6</v>
      </c>
      <c r="E13" s="17">
        <f t="shared" si="3"/>
        <v>6.625</v>
      </c>
      <c r="F13" s="17">
        <f t="shared" si="4"/>
        <v>6.6750000000000007</v>
      </c>
      <c r="G13" s="16">
        <f t="shared" si="5"/>
        <v>0.83895131086142305</v>
      </c>
      <c r="H13" s="16">
        <v>0.84</v>
      </c>
      <c r="I13" s="16">
        <f t="shared" si="0"/>
        <v>6.6666666666666661</v>
      </c>
      <c r="J13" s="16">
        <f t="shared" si="1"/>
        <v>6.5646342708184715</v>
      </c>
      <c r="K13" s="16">
        <f t="shared" si="2"/>
        <v>5.5142927874875163</v>
      </c>
      <c r="P13" s="4" t="s">
        <v>25</v>
      </c>
      <c r="Q13" s="4">
        <v>0.912912411504336</v>
      </c>
    </row>
    <row r="14" spans="1:17" x14ac:dyDescent="0.3">
      <c r="A14" s="15">
        <v>11</v>
      </c>
      <c r="B14" s="15"/>
      <c r="C14" s="15">
        <v>3</v>
      </c>
      <c r="D14" s="15">
        <v>7.5</v>
      </c>
      <c r="E14" s="17">
        <f t="shared" si="3"/>
        <v>6.7250000000000005</v>
      </c>
      <c r="F14" s="17">
        <f t="shared" si="4"/>
        <v>6.7625000000000002</v>
      </c>
      <c r="G14" s="16">
        <f t="shared" si="5"/>
        <v>1.1090573012939002</v>
      </c>
      <c r="H14" s="16">
        <v>1.0900000000000001</v>
      </c>
      <c r="I14" s="16">
        <f t="shared" si="0"/>
        <v>6.8807339449541276</v>
      </c>
      <c r="J14" s="16">
        <f t="shared" si="1"/>
        <v>6.7110357766710091</v>
      </c>
      <c r="K14" s="16">
        <f t="shared" si="2"/>
        <v>7.3150289965714004</v>
      </c>
      <c r="P14" s="4" t="s">
        <v>26</v>
      </c>
      <c r="Q14" s="4">
        <v>0.21459832767541795</v>
      </c>
    </row>
    <row r="15" spans="1:17" ht="15" thickBot="1" x14ac:dyDescent="0.35">
      <c r="A15" s="15">
        <v>12</v>
      </c>
      <c r="B15" s="15"/>
      <c r="C15" s="15">
        <v>4</v>
      </c>
      <c r="D15" s="15">
        <v>7.8</v>
      </c>
      <c r="E15" s="17">
        <f t="shared" si="3"/>
        <v>6.8</v>
      </c>
      <c r="F15" s="17">
        <f t="shared" si="4"/>
        <v>6.8375000000000004</v>
      </c>
      <c r="G15" s="16">
        <f t="shared" si="5"/>
        <v>1.1407678244972577</v>
      </c>
      <c r="H15" s="16">
        <v>1.1499999999999999</v>
      </c>
      <c r="I15" s="16">
        <f t="shared" si="0"/>
        <v>6.7826086956521747</v>
      </c>
      <c r="J15" s="16">
        <f t="shared" si="1"/>
        <v>6.8574372825235459</v>
      </c>
      <c r="K15" s="16">
        <f t="shared" si="2"/>
        <v>7.8860528749020773</v>
      </c>
      <c r="P15" s="5" t="s">
        <v>27</v>
      </c>
      <c r="Q15" s="5">
        <v>16</v>
      </c>
    </row>
    <row r="16" spans="1:17" x14ac:dyDescent="0.3">
      <c r="A16" s="15">
        <v>13</v>
      </c>
      <c r="B16" s="15" t="s">
        <v>8</v>
      </c>
      <c r="C16" s="15">
        <v>1</v>
      </c>
      <c r="D16" s="15">
        <v>6.3</v>
      </c>
      <c r="E16" s="17">
        <f t="shared" si="3"/>
        <v>6.875</v>
      </c>
      <c r="F16" s="17">
        <f t="shared" si="4"/>
        <v>6.9375</v>
      </c>
      <c r="G16" s="16">
        <f t="shared" si="5"/>
        <v>0.90810810810810805</v>
      </c>
      <c r="H16" s="16">
        <v>0.93</v>
      </c>
      <c r="I16" s="16">
        <f t="shared" si="0"/>
        <v>6.7741935483870961</v>
      </c>
      <c r="J16" s="16">
        <f t="shared" si="1"/>
        <v>7.0038387883760826</v>
      </c>
      <c r="K16" s="16">
        <f t="shared" si="2"/>
        <v>6.513570073189757</v>
      </c>
    </row>
    <row r="17" spans="1:24" ht="15" thickBot="1" x14ac:dyDescent="0.35">
      <c r="A17" s="15">
        <v>14</v>
      </c>
      <c r="B17" s="15"/>
      <c r="C17" s="15">
        <v>2</v>
      </c>
      <c r="D17" s="15">
        <v>5.9</v>
      </c>
      <c r="E17" s="17">
        <f t="shared" si="3"/>
        <v>7</v>
      </c>
      <c r="F17" s="17">
        <f>AVERAGE(E17:E18)</f>
        <v>7.0750000000000002</v>
      </c>
      <c r="G17" s="16">
        <f t="shared" si="5"/>
        <v>0.83392226148409898</v>
      </c>
      <c r="H17" s="16">
        <v>0.84</v>
      </c>
      <c r="I17" s="16">
        <f t="shared" si="0"/>
        <v>7.0238095238095246</v>
      </c>
      <c r="J17" s="16">
        <f t="shared" si="1"/>
        <v>7.1502402942286203</v>
      </c>
      <c r="K17" s="16">
        <f t="shared" si="2"/>
        <v>6.0062018471520409</v>
      </c>
      <c r="P17" t="s">
        <v>28</v>
      </c>
    </row>
    <row r="18" spans="1:24" x14ac:dyDescent="0.3">
      <c r="A18" s="15">
        <v>15</v>
      </c>
      <c r="B18" s="15"/>
      <c r="C18" s="15">
        <v>3</v>
      </c>
      <c r="D18" s="15">
        <v>8</v>
      </c>
      <c r="E18" s="17">
        <f t="shared" si="3"/>
        <v>7.15</v>
      </c>
      <c r="F18" s="17"/>
      <c r="G18" s="16"/>
      <c r="H18" s="16">
        <v>1.0900000000000001</v>
      </c>
      <c r="I18" s="16">
        <f t="shared" si="0"/>
        <v>7.3394495412844032</v>
      </c>
      <c r="J18" s="16">
        <f t="shared" si="1"/>
        <v>7.2966418000811579</v>
      </c>
      <c r="K18" s="16">
        <f t="shared" si="2"/>
        <v>7.9533395620884626</v>
      </c>
      <c r="P18" s="6"/>
      <c r="Q18" s="6" t="s">
        <v>33</v>
      </c>
      <c r="R18" s="6" t="s">
        <v>34</v>
      </c>
      <c r="S18" s="6" t="s">
        <v>35</v>
      </c>
      <c r="T18" s="6" t="s">
        <v>36</v>
      </c>
      <c r="U18" s="6" t="s">
        <v>37</v>
      </c>
    </row>
    <row r="19" spans="1:24" x14ac:dyDescent="0.3">
      <c r="A19" s="15">
        <v>16</v>
      </c>
      <c r="B19" s="15"/>
      <c r="C19" s="15">
        <v>4</v>
      </c>
      <c r="D19" s="15">
        <v>8.4</v>
      </c>
      <c r="E19" s="15"/>
      <c r="F19" s="17"/>
      <c r="G19" s="16"/>
      <c r="H19" s="16">
        <v>1.1499999999999999</v>
      </c>
      <c r="I19" s="16">
        <f t="shared" si="0"/>
        <v>7.304347826086957</v>
      </c>
      <c r="J19" s="16">
        <f t="shared" si="1"/>
        <v>7.4430433059336947</v>
      </c>
      <c r="K19" s="16">
        <f t="shared" si="2"/>
        <v>8.5594998018237476</v>
      </c>
      <c r="P19" s="4" t="s">
        <v>29</v>
      </c>
      <c r="Q19" s="4">
        <v>1</v>
      </c>
      <c r="R19" s="4">
        <v>7.2873563114027604</v>
      </c>
      <c r="S19" s="4">
        <v>7.2873563114027604</v>
      </c>
      <c r="T19" s="4">
        <v>158.2403876270711</v>
      </c>
      <c r="U19" s="4">
        <v>5.0946479186820443E-9</v>
      </c>
    </row>
    <row r="20" spans="1:24" x14ac:dyDescent="0.3">
      <c r="A20" s="18">
        <v>17</v>
      </c>
      <c r="B20" s="18" t="s">
        <v>9</v>
      </c>
      <c r="C20" s="18"/>
      <c r="D20" s="18"/>
      <c r="E20" s="18"/>
      <c r="F20" s="18"/>
      <c r="G20" s="18"/>
      <c r="H20" s="18">
        <v>0.93</v>
      </c>
      <c r="I20" s="18"/>
      <c r="J20" s="19">
        <f>$Q$24+$Q$25*A20</f>
        <v>7.5894448117862314</v>
      </c>
      <c r="K20" s="19">
        <f t="shared" si="2"/>
        <v>7.0581836749611959</v>
      </c>
      <c r="P20" s="4" t="s">
        <v>30</v>
      </c>
      <c r="Q20" s="4">
        <v>14</v>
      </c>
      <c r="R20" s="4">
        <v>0.64473419137520471</v>
      </c>
      <c r="S20" s="4">
        <v>4.6052442241086053E-2</v>
      </c>
      <c r="T20" s="4"/>
      <c r="U20" s="4"/>
    </row>
    <row r="21" spans="1:24" ht="15" thickBot="1" x14ac:dyDescent="0.35">
      <c r="A21" s="18">
        <v>18</v>
      </c>
      <c r="B21" s="18"/>
      <c r="C21" s="18"/>
      <c r="D21" s="18"/>
      <c r="E21" s="18"/>
      <c r="F21" s="18"/>
      <c r="G21" s="18"/>
      <c r="H21" s="18">
        <v>0.84</v>
      </c>
      <c r="I21" s="18"/>
      <c r="J21" s="19">
        <f t="shared" si="1"/>
        <v>7.7358463176387691</v>
      </c>
      <c r="K21" s="19">
        <f t="shared" si="2"/>
        <v>6.4981109068165654</v>
      </c>
      <c r="P21" s="5" t="s">
        <v>31</v>
      </c>
      <c r="Q21" s="5">
        <v>15</v>
      </c>
      <c r="R21" s="5">
        <v>7.9320905027779656</v>
      </c>
      <c r="S21" s="5"/>
      <c r="T21" s="5"/>
      <c r="U21" s="5"/>
    </row>
    <row r="22" spans="1:24" ht="15" thickBot="1" x14ac:dyDescent="0.35">
      <c r="A22" s="18">
        <v>19</v>
      </c>
      <c r="B22" s="18"/>
      <c r="C22" s="18"/>
      <c r="D22" s="18"/>
      <c r="E22" s="18"/>
      <c r="F22" s="18"/>
      <c r="G22" s="18"/>
      <c r="H22" s="18">
        <v>1.0900000000000001</v>
      </c>
      <c r="I22" s="18"/>
      <c r="J22" s="19">
        <f t="shared" si="1"/>
        <v>7.8822478234913067</v>
      </c>
      <c r="K22" s="19">
        <f t="shared" si="2"/>
        <v>8.5916501276055257</v>
      </c>
    </row>
    <row r="23" spans="1:24" x14ac:dyDescent="0.3">
      <c r="A23" s="18">
        <v>20</v>
      </c>
      <c r="B23" s="18"/>
      <c r="C23" s="18"/>
      <c r="D23" s="18"/>
      <c r="E23" s="18"/>
      <c r="F23" s="18"/>
      <c r="G23" s="18"/>
      <c r="H23" s="18">
        <v>1.1499999999999999</v>
      </c>
      <c r="I23" s="18"/>
      <c r="J23" s="19">
        <f t="shared" si="1"/>
        <v>8.0286493293438426</v>
      </c>
      <c r="K23" s="19">
        <f t="shared" si="2"/>
        <v>9.2329467287454179</v>
      </c>
      <c r="P23" s="6"/>
      <c r="Q23" s="6" t="s">
        <v>38</v>
      </c>
      <c r="R23" s="6" t="s">
        <v>26</v>
      </c>
      <c r="S23" s="6" t="s">
        <v>39</v>
      </c>
      <c r="T23" s="6" t="s">
        <v>40</v>
      </c>
      <c r="U23" s="6" t="s">
        <v>41</v>
      </c>
      <c r="V23" s="6" t="s">
        <v>42</v>
      </c>
      <c r="W23" s="6" t="s">
        <v>43</v>
      </c>
      <c r="X23" s="6" t="s">
        <v>44</v>
      </c>
    </row>
    <row r="24" spans="1:24" x14ac:dyDescent="0.3">
      <c r="P24" s="4" t="s">
        <v>32</v>
      </c>
      <c r="Q24" s="8">
        <v>5.1006192122930996</v>
      </c>
      <c r="R24" s="4">
        <v>0.11253631243424793</v>
      </c>
      <c r="S24" s="4">
        <v>45.324207822015282</v>
      </c>
      <c r="T24" s="4">
        <v>1.3678632689809387E-16</v>
      </c>
      <c r="U24" s="4">
        <v>4.8592528274767623</v>
      </c>
      <c r="V24" s="4">
        <v>5.3419855971094297</v>
      </c>
      <c r="W24" s="4">
        <v>4.8592528274767623</v>
      </c>
      <c r="X24" s="4">
        <v>5.3419855971094297</v>
      </c>
    </row>
    <row r="25" spans="1:24" ht="15" thickBot="1" x14ac:dyDescent="0.35">
      <c r="P25" s="5" t="s">
        <v>10</v>
      </c>
      <c r="Q25" s="9">
        <v>0.14640150585253719</v>
      </c>
      <c r="R25" s="5">
        <v>1.1638228367436602E-2</v>
      </c>
      <c r="S25" s="5">
        <v>12.579363562083385</v>
      </c>
      <c r="T25" s="5">
        <v>5.0946479186820261E-9</v>
      </c>
      <c r="U25" s="5">
        <v>0.12143998857911181</v>
      </c>
      <c r="V25" s="5">
        <v>0.17136302312596258</v>
      </c>
      <c r="W25" s="5">
        <v>0.12143998857911181</v>
      </c>
      <c r="X25" s="5">
        <v>0.17136302312596258</v>
      </c>
    </row>
    <row r="28" spans="1:24" ht="15.6" x14ac:dyDescent="0.35">
      <c r="P28" s="1" t="s">
        <v>17</v>
      </c>
      <c r="Q28" s="2" t="s">
        <v>16</v>
      </c>
    </row>
    <row r="29" spans="1:24" x14ac:dyDescent="0.3">
      <c r="P29">
        <v>1</v>
      </c>
      <c r="Q29" s="3">
        <f>AVERAGEIF(C6:C17,P29,G6:G17)</f>
        <v>0.93220047731596012</v>
      </c>
    </row>
    <row r="30" spans="1:24" x14ac:dyDescent="0.3">
      <c r="P30">
        <v>2</v>
      </c>
      <c r="Q30" s="3">
        <f>AVERAGEIF(C7:C18,P30,G7:G18)</f>
        <v>0.83775920424985417</v>
      </c>
    </row>
    <row r="31" spans="1:24" x14ac:dyDescent="0.3">
      <c r="P31">
        <v>3</v>
      </c>
      <c r="Q31" s="3">
        <f>AVERAGEIF(C8:C19,P31,G8:G19)</f>
        <v>1.0920780577615745</v>
      </c>
    </row>
    <row r="32" spans="1:24" x14ac:dyDescent="0.3">
      <c r="P32">
        <v>4</v>
      </c>
      <c r="Q32" s="3">
        <f>AVERAGEIF(C9:C20,P32,G9:G20)</f>
        <v>1.1485089122486289</v>
      </c>
    </row>
  </sheetData>
  <mergeCells count="1">
    <mergeCell ref="A1:K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sharvani kasam</dc:creator>
  <cp:lastModifiedBy>sharvani kasam</cp:lastModifiedBy>
  <dcterms:created xsi:type="dcterms:W3CDTF">2024-08-24T04:20:17Z</dcterms:created>
  <dcterms:modified xsi:type="dcterms:W3CDTF">2024-08-24T12:00:43Z</dcterms:modified>
</cp:coreProperties>
</file>